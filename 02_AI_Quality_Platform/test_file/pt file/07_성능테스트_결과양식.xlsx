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8a57541d5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성능테스트_결과" sheetId="1" r:id="R0b2db524efa44f53"/>
    <x:sheet xmlns:r="http://schemas.openxmlformats.org/officeDocument/2006/relationships" name="그래프용_요약" sheetId="2" r:id="Ra096f5dcd4c9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E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6ac1013d54ed0" /><Relationship Type="http://schemas.openxmlformats.org/officeDocument/2006/relationships/theme" Target="/xl/theme/theme1.xml" Id="Rad03f53175fb4aaa" /><Relationship Type="http://schemas.openxmlformats.org/officeDocument/2006/relationships/sharedStrings" Target="/xl/sharedStrings.xml" Id="R823ea47bfb104653" /><Relationship Type="http://schemas.openxmlformats.org/officeDocument/2006/relationships/worksheet" Target="/xl/worksheets/sheet1.xml" Id="R0b2db524efa44f53" /><Relationship Type="http://schemas.openxmlformats.org/officeDocument/2006/relationships/worksheet" Target="/xl/worksheets/sheet2.xml" Id="Ra096f5dcd4c94704" /></Relationships>
</file>

<file path=xl/tables/table1.xml><?xml version="1.0" encoding="utf-8"?>
<x:table xmlns:x="http://schemas.openxmlformats.org/spreadsheetml/2006/main" id="1" name="PerfResultsTable" displayName="PerfResultsTable" ref="A1:L3" headerRowCount="1">
  <x:tableColumns count="12">
    <x:tableColumn id="1" name="도구"/>
    <x:tableColumn id="2" name="테스트일"/>
    <x:tableColumn id="3" name="시나리오"/>
    <x:tableColumn id="4" name="총 요청 수"/>
    <x:tableColumn id="5" name="성공 수"/>
    <x:tableColumn id="6" name="실패 수"/>
    <x:tableColumn id="7" name="오류율"/>
    <x:tableColumn id="8" name="평균(ms)"/>
    <x:tableColumn id="9" name="p95(ms)"/>
    <x:tableColumn id="10" name="최대(ms)"/>
    <x:tableColumn id="11" name="최종 판정"/>
    <x:tableColumn id="12" name="개선 의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a26c65999e473f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0" hidden="0" customWidth="1"/>
  </x:cols>
  <x:sheetData>
    <x:row r="1">
      <x:c r="A1" s="10" t="str">
        <x:v>도구</x:v>
      </x:c>
      <x:c r="B1" s="10" t="str">
        <x:v>테스트일</x:v>
      </x:c>
      <x:c r="C1" s="10" t="str">
        <x:v>시나리오</x:v>
      </x:c>
      <x:c r="D1" s="10" t="str">
        <x:v>총 요청 수</x:v>
      </x:c>
      <x:c r="E1" s="10" t="str">
        <x:v>성공 수</x:v>
      </x:c>
      <x:c r="F1" s="10" t="str">
        <x:v>실패 수</x:v>
      </x:c>
      <x:c r="G1" s="10" t="str">
        <x:v>오류율</x:v>
      </x:c>
      <x:c r="H1" s="10" t="str">
        <x:v>평균(ms)</x:v>
      </x:c>
      <x:c r="I1" s="10" t="str">
        <x:v>p95(ms)</x:v>
      </x:c>
      <x:c r="J1" s="10" t="str">
        <x:v>최대(ms)</x:v>
      </x:c>
      <x:c r="K1" s="10" t="str">
        <x:v>최종 판정</x:v>
      </x:c>
      <x:c r="L1" s="10" t="str">
        <x:v>개선 의견</x:v>
      </x:c>
    </x:row>
    <x:row r="2">
      <x:c r="A2" s="11" t="str">
        <x:v>JMeter</x:v>
      </x:c>
      <x:c r="B2" s="11" t="str"/>
      <x:c r="C2" s="11" t="str">
        <x:v>기본 부하 100건</x:v>
      </x:c>
      <x:c r="D2" s="11" t="n">
        <x:v>100</x:v>
      </x:c>
      <x:c r="E2" s="11" t="n">
        <x:v>0</x:v>
      </x:c>
      <x:c r="F2" s="11" t="n">
        <x:v>0</x:v>
      </x:c>
      <x:c r="G2" s="12" t="n">
        <x:f>F2/D2</x:f>
        <x:v>0</x:v>
      </x:c>
      <x:c r="H2" s="11" t="n">
        <x:v>0</x:v>
      </x:c>
      <x:c r="I2" s="11" t="n">
        <x:v>0</x:v>
      </x:c>
      <x:c r="J2" s="11" t="n">
        <x:v>0</x:v>
      </x:c>
      <x:c r="K2" s="11" t="str">
        <x:f>IF(AND(G2&lt;=0.05,I2&lt;=1000),"Pass","Fail")</x:f>
        <x:v>Pass</x:v>
      </x:c>
      <x:c r="L2" s="11" t="str"/>
    </x:row>
    <x:row r="3">
      <x:c r="A3" s="11" t="str">
        <x:v>k6</x:v>
      </x:c>
      <x:c r="B3" s="11" t="str"/>
      <x:c r="C3" s="11" t="str">
        <x:v>threshold p95 확인</x:v>
      </x:c>
      <x:c r="D3" s="11" t="n">
        <x:v>100</x:v>
      </x:c>
      <x:c r="E3" s="11" t="n">
        <x:v>0</x:v>
      </x:c>
      <x:c r="F3" s="11" t="n">
        <x:v>0</x:v>
      </x:c>
      <x:c r="G3" s="12" t="n">
        <x:f>F3/D3</x:f>
        <x:v>0</x:v>
      </x:c>
      <x:c r="H3" s="11" t="n">
        <x:v>0</x:v>
      </x:c>
      <x:c r="I3" s="11" t="n">
        <x:v>0</x:v>
      </x:c>
      <x:c r="J3" s="11" t="n">
        <x:v>0</x:v>
      </x:c>
      <x:c r="K3" s="11" t="str">
        <x:f>IF(AND(G3&lt;=0.05,I3&lt;=1000),"Pass","Fail")</x:f>
        <x:v>Pass</x:v>
      </x:c>
      <x:c r="L3" s="11" t="str"/>
    </x:row>
    <x:row r="4">
      <x:c r="G4" s="8"/>
    </x:row>
    <x:row r="5">
      <x:c r="G5" s="8"/>
    </x:row>
    <x:row r="6">
      <x:c r="A6" s="17" t="str">
        <x:v>판정 기준</x:v>
      </x:c>
      <x:c r="G6" s="8"/>
    </x:row>
    <x:row r="7">
      <x:c r="A7" s="11" t="str">
        <x:v>오류율</x:v>
      </x:c>
      <x:c r="B7" s="11" t="str">
        <x:v>5% 이하</x:v>
      </x:c>
      <x:c r="G7" s="8"/>
    </x:row>
    <x:row r="8">
      <x:c r="A8" s="11" t="str">
        <x:v>p95 응답시간</x:v>
      </x:c>
      <x:c r="B8" s="11" t="str">
        <x:v>1000ms 이하</x:v>
      </x:c>
      <x:c r="G8" s="8"/>
    </x:row>
    <x:row r="9">
      <x:c r="A9" s="11" t="str">
        <x:v>최종 판정</x:v>
      </x:c>
      <x:c r="B9" s="11" t="str">
        <x:v>두 조건 모두 만족하면 Pass</x:v>
      </x:c>
      <x:c r="G9" s="8"/>
    </x:row>
    <x:row r="10">
      <x:c r="G10" s="8"/>
    </x:row>
    <x:row r="11">
      <x:c r="G11" s="8"/>
    </x:row>
    <x:row r="12">
      <x:c r="G12" s="8"/>
    </x:row>
    <x:row r="13">
      <x:c r="G13" s="8"/>
    </x:row>
    <x:row r="14">
      <x:c r="G14" s="8"/>
    </x:row>
    <x:row r="15">
      <x:c r="G15" s="8"/>
    </x:row>
    <x:row r="16">
      <x:c r="G16" s="8"/>
    </x:row>
    <x:row r="17">
      <x:c r="G17" s="8"/>
    </x:row>
    <x:row r="18">
      <x:c r="G18" s="8"/>
    </x:row>
    <x:row r="19">
      <x:c r="G19" s="8"/>
    </x:row>
    <x:row r="20">
      <x:c r="G20" s="8"/>
    </x:row>
    <x:row r="21">
      <x:c r="G21" s="8"/>
    </x:row>
    <x:row r="22">
      <x:c r="G22" s="8"/>
    </x:row>
    <x:row r="23">
      <x:c r="G23" s="8"/>
    </x:row>
    <x:row r="24">
      <x:c r="G24" s="8"/>
    </x:row>
    <x:row r="25">
      <x:c r="G25" s="8"/>
    </x:row>
    <x:row r="26">
      <x:c r="G26" s="8"/>
    </x:row>
    <x:row r="27">
      <x:c r="G27" s="8"/>
    </x:row>
    <x:row r="28">
      <x:c r="G28" s="8"/>
    </x:row>
    <x:row r="29">
      <x:c r="G29" s="8"/>
    </x:row>
    <x:row r="30">
      <x:c r="G30" s="8"/>
    </x:row>
    <x:row r="31">
      <x:c r="G31" s="8"/>
    </x:row>
    <x:row r="32">
      <x:c r="G32" s="8"/>
    </x:row>
    <x:row r="33">
      <x:c r="G33" s="8"/>
    </x:row>
    <x:row r="34">
      <x:c r="G34" s="8"/>
    </x:row>
    <x:row r="35">
      <x:c r="G35" s="8"/>
    </x:row>
    <x:row r="36">
      <x:c r="G36" s="8"/>
    </x:row>
    <x:row r="37">
      <x:c r="G37" s="8"/>
    </x:row>
    <x:row r="38">
      <x:c r="G38" s="8"/>
    </x:row>
    <x:row r="39">
      <x:c r="G39" s="8"/>
    </x:row>
    <x:row r="40">
      <x:c r="G40" s="8"/>
    </x:row>
    <x:row r="41">
      <x:c r="G41" s="8"/>
    </x:row>
    <x:row r="42">
      <x:c r="G42" s="8"/>
    </x:row>
    <x:row r="43">
      <x:c r="G43" s="8"/>
    </x:row>
    <x:row r="44">
      <x:c r="G44" s="8"/>
    </x:row>
    <x:row r="45">
      <x:c r="G45" s="8"/>
    </x:row>
    <x:row r="46">
      <x:c r="G46" s="8"/>
    </x:row>
    <x:row r="47">
      <x:c r="G47" s="8"/>
    </x:row>
    <x:row r="48">
      <x:c r="G48" s="8"/>
    </x:row>
    <x:row r="49">
      <x:c r="G49" s="8"/>
    </x:row>
    <x:row r="50">
      <x:c r="G50" s="8"/>
    </x:row>
    <x:row r="51">
      <x:c r="G51" s="8"/>
    </x:row>
    <x:row r="52">
      <x:c r="G52" s="8"/>
    </x:row>
    <x:row r="53">
      <x:c r="G53" s="8"/>
    </x:row>
    <x:row r="54">
      <x:c r="G54" s="8"/>
    </x:row>
    <x:row r="55">
      <x:c r="G55" s="8"/>
    </x:row>
    <x:row r="56">
      <x:c r="G56" s="8"/>
    </x:row>
    <x:row r="57">
      <x:c r="G57" s="8"/>
    </x:row>
    <x:row r="58">
      <x:c r="G58" s="8"/>
    </x:row>
    <x:row r="59">
      <x:c r="G59" s="8"/>
    </x:row>
    <x:row r="60">
      <x:c r="G60" s="8"/>
    </x:row>
    <x:row r="61">
      <x:c r="G61" s="8"/>
    </x:row>
    <x:row r="62">
      <x:c r="G62" s="8"/>
    </x:row>
    <x:row r="63">
      <x:c r="G63" s="8"/>
    </x:row>
    <x:row r="64">
      <x:c r="G64" s="8"/>
    </x:row>
    <x:row r="65">
      <x:c r="G65" s="8"/>
    </x:row>
    <x:row r="66">
      <x:c r="G66" s="8"/>
    </x:row>
    <x:row r="67">
      <x:c r="G67" s="8"/>
    </x:row>
    <x:row r="68">
      <x:c r="G68" s="8"/>
    </x:row>
    <x:row r="69">
      <x:c r="G69" s="8"/>
    </x:row>
    <x:row r="70">
      <x:c r="G70" s="8"/>
    </x:row>
    <x:row r="71">
      <x:c r="G71" s="8"/>
    </x:row>
    <x:row r="72">
      <x:c r="G72" s="8"/>
    </x:row>
    <x:row r="73">
      <x:c r="G73" s="8"/>
    </x:row>
    <x:row r="74">
      <x:c r="G74" s="8"/>
    </x:row>
    <x:row r="75">
      <x:c r="G75" s="8"/>
    </x:row>
    <x:row r="76">
      <x:c r="G76" s="8"/>
    </x:row>
    <x:row r="77">
      <x:c r="G77" s="8"/>
    </x:row>
    <x:row r="78">
      <x:c r="G78" s="8"/>
    </x:row>
    <x:row r="79">
      <x:c r="G79" s="8"/>
    </x:row>
    <x:row r="80">
      <x:c r="G80" s="8"/>
    </x:row>
    <x:row r="81">
      <x:c r="G81" s="8"/>
    </x:row>
    <x:row r="82">
      <x:c r="G82" s="8"/>
    </x:row>
    <x:row r="83">
      <x:c r="G83" s="8"/>
    </x:row>
    <x:row r="84">
      <x:c r="G84" s="8"/>
    </x:row>
    <x:row r="85">
      <x:c r="G85" s="8"/>
    </x:row>
    <x:row r="86">
      <x:c r="G86" s="8"/>
    </x:row>
    <x:row r="87">
      <x:c r="G87" s="8"/>
    </x:row>
    <x:row r="88">
      <x:c r="G88" s="8"/>
    </x:row>
    <x:row r="89">
      <x:c r="G89" s="8"/>
    </x:row>
    <x:row r="90">
      <x:c r="G90" s="8"/>
    </x:row>
    <x:row r="91">
      <x:c r="G91" s="8"/>
    </x:row>
    <x:row r="92">
      <x:c r="G92" s="8"/>
    </x:row>
    <x:row r="93">
      <x:c r="G93" s="8"/>
    </x:row>
    <x:row r="94">
      <x:c r="G94" s="8"/>
    </x:row>
    <x:row r="95">
      <x:c r="G95" s="8"/>
    </x:row>
    <x:row r="96">
      <x:c r="G96" s="8"/>
    </x:row>
    <x:row r="97">
      <x:c r="G97" s="8"/>
    </x:row>
    <x:row r="98">
      <x:c r="G98" s="8"/>
    </x:row>
    <x:row r="99">
      <x:c r="G99" s="8"/>
    </x:row>
    <x:row r="100">
      <x:c r="G100" s="8"/>
    </x:row>
  </x:sheetData>
  <x:pageMargins left="0.7" right="0.7" top="0.75" bottom="0.75" header="0.3" footer="0.3"/>
  <x:tableParts count="1">
    <x:tablePart xmlns:r="http://schemas.openxmlformats.org/officeDocument/2006/relationships" r:id="R34a26c65999e47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21" t="str">
        <x:v>도구</x:v>
      </x:c>
      <x:c r="B1" s="21" t="str">
        <x:v>오류율</x:v>
      </x:c>
      <x:c r="C1" s="21" t="str">
        <x:v>평균(ms)</x:v>
      </x:c>
      <x:c r="D1" s="21" t="str">
        <x:v>p95(ms)</x:v>
      </x:c>
    </x:row>
    <x:row r="2">
      <x:c r="A2" t="str">
        <x:f>'성능테스트_결과'!A2</x:f>
        <x:v>JMeter</x:v>
      </x:c>
      <x:c r="B2" t="n">
        <x:f>'성능테스트_결과'!G2</x:f>
        <x:v>0</x:v>
      </x:c>
      <x:c r="C2" t="n">
        <x:f>'성능테스트_결과'!H2</x:f>
        <x:v>0</x:v>
      </x:c>
      <x:c r="D2" t="n">
        <x:f>'성능테스트_결과'!I2</x:f>
        <x:v>0</x:v>
      </x:c>
    </x:row>
    <x:row r="3">
      <x:c r="A3" t="str">
        <x:f>'성능테스트_결과'!A3</x:f>
        <x:v>k6</x:v>
      </x:c>
      <x:c r="B3" t="n">
        <x:f>'성능테스트_결과'!G3</x:f>
        <x:v>0</x:v>
      </x:c>
      <x:c r="C3" t="n">
        <x:f>'성능테스트_결과'!H3</x:f>
        <x:v>0</x:v>
      </x:c>
      <x:c r="D3" t="n">
        <x:f>'성능테스트_결과'!I3</x:f>
        <x:v>0</x:v>
      </x:c>
    </x:row>
  </x:sheetData>
  <x:pageMargins left="0.7" right="0.7" top="0.75" bottom="0.75" header="0.3" footer="0.3"/>
</x:worksheet>
</file>