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이드" sheetId="1" state="visible" r:id="rId3"/>
    <sheet name="지표정의" sheetId="2" state="visible" r:id="rId4"/>
    <sheet name="취약지표 분석(입력용)" sheetId="3" state="visible" r:id="rId5"/>
    <sheet name="Action Item 매핑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<sst xmlns="http://schemas.openxmlformats.org/spreadsheetml/2006/main" count="86" uniqueCount="71">
  <si>
    <r>
      <rPr>
        <b val="true"/>
        <sz val="16"/>
        <color rgb="FF1F4E78"/>
        <rFont val="Noto Sans CJK SC"/>
        <family val="2"/>
      </rPr>
      <t xml:space="preserve">취약지표 분석 기준 및 템플릿 </t>
    </r>
    <r>
      <rPr>
        <b val="true"/>
        <sz val="16"/>
        <color rgb="FF1F4E78"/>
        <rFont val="Arial"/>
        <family val="0"/>
        <charset val="1"/>
      </rPr>
      <t xml:space="preserve">- AI </t>
    </r>
    <r>
      <rPr>
        <b val="true"/>
        <sz val="16"/>
        <color rgb="FF1F4E78"/>
        <rFont val="Noto Sans CJK SC"/>
        <family val="2"/>
      </rPr>
      <t xml:space="preserve">챗봇 </t>
    </r>
    <r>
      <rPr>
        <b val="true"/>
        <sz val="16"/>
        <color rgb="FF1F4E78"/>
        <rFont val="Arial"/>
        <family val="0"/>
        <charset val="1"/>
      </rPr>
      <t xml:space="preserve">QA </t>
    </r>
    <r>
      <rPr>
        <b val="true"/>
        <sz val="16"/>
        <color rgb="FF1F4E78"/>
        <rFont val="Noto Sans CJK SC"/>
        <family val="2"/>
      </rPr>
      <t xml:space="preserve">자동화 파이프라인</t>
    </r>
  </si>
  <si>
    <r>
      <rPr>
        <b val="true"/>
        <sz val="11"/>
        <rFont val="Arial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목적</t>
    </r>
  </si>
  <si>
    <r>
      <rPr>
        <sz val="11"/>
        <rFont val="Arial"/>
        <family val="0"/>
        <charset val="1"/>
      </rPr>
      <t xml:space="preserve">Streamlit </t>
    </r>
    <r>
      <rPr>
        <sz val="11"/>
        <rFont val="Noto Sans CJK SC"/>
        <family val="2"/>
      </rPr>
      <t xml:space="preserve">대시보드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최종 결론 자동 분석</t>
    </r>
    <r>
      <rPr>
        <sz val="11"/>
        <rFont val="Arial"/>
        <family val="0"/>
        <charset val="1"/>
      </rPr>
      <t xml:space="preserve">'(DASH-006) </t>
    </r>
    <r>
      <rPr>
        <sz val="11"/>
        <rFont val="Noto Sans CJK SC"/>
        <family val="2"/>
      </rPr>
      <t xml:space="preserve">기능의 판정 로직을 문서화하고</t>
    </r>
    <r>
      <rPr>
        <sz val="11"/>
        <rFont val="Arial"/>
        <family val="0"/>
        <charset val="1"/>
      </rPr>
      <t xml:space="preserve">,</t>
    </r>
  </si>
  <si>
    <r>
      <rPr>
        <sz val="11"/>
        <rFont val="Noto Sans CJK SC"/>
        <family val="2"/>
      </rPr>
      <t xml:space="preserve">파이프라인 실행 후 산출되는 </t>
    </r>
    <r>
      <rPr>
        <sz val="11"/>
        <rFont val="Arial"/>
        <family val="0"/>
        <charset val="1"/>
      </rPr>
      <t xml:space="preserve">evaluation_result.csv</t>
    </r>
    <r>
      <rPr>
        <sz val="11"/>
        <rFont val="Noto Sans CJK SC"/>
        <family val="2"/>
      </rPr>
      <t xml:space="preserve">를 이 템플릿에 입력하면 취약지표를 자동 판정하도록 구성</t>
    </r>
  </si>
  <si>
    <r>
      <rPr>
        <sz val="11"/>
        <rFont val="Noto Sans CJK SC"/>
        <family val="2"/>
      </rPr>
      <t xml:space="preserve">※ 본 파일은 파이프라인 실행 전 작성된 분석 기준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템플릿이며</t>
    </r>
    <r>
      <rPr>
        <sz val="11"/>
        <rFont val="Arial"/>
        <family val="0"/>
        <charset val="1"/>
      </rPr>
      <t xml:space="preserve">, '</t>
    </r>
    <r>
      <rPr>
        <sz val="11"/>
        <rFont val="Noto Sans CJK SC"/>
        <family val="2"/>
      </rPr>
      <t xml:space="preserve">취약지표 분석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입력용</t>
    </r>
    <r>
      <rPr>
        <sz val="11"/>
        <rFont val="Arial"/>
        <family val="0"/>
        <charset val="1"/>
      </rPr>
      <t xml:space="preserve">)' </t>
    </r>
    <r>
      <rPr>
        <sz val="11"/>
        <rFont val="Noto Sans CJK SC"/>
        <family val="2"/>
      </rPr>
      <t xml:space="preserve">시트의 점수는 실제 실행 결과가 아닌 입력 대기 상태</t>
    </r>
    <r>
      <rPr>
        <sz val="11"/>
        <rFont val="Arial"/>
        <family val="0"/>
        <charset val="1"/>
      </rPr>
      <t xml:space="preserve">(0)</t>
    </r>
    <r>
      <rPr>
        <sz val="11"/>
        <rFont val="Noto Sans CJK SC"/>
        <family val="2"/>
      </rPr>
      <t xml:space="preserve">임</t>
    </r>
  </si>
  <si>
    <r>
      <rPr>
        <b val="true"/>
        <sz val="11"/>
        <rFont val="Arial"/>
        <family val="0"/>
        <charset val="1"/>
      </rPr>
      <t xml:space="preserve">2. 4</t>
    </r>
    <r>
      <rPr>
        <b val="true"/>
        <sz val="11"/>
        <rFont val="Noto Sans CJK SC"/>
        <family val="2"/>
      </rPr>
      <t xml:space="preserve">대 평가지표</t>
    </r>
  </si>
  <si>
    <r>
      <rPr>
        <sz val="11"/>
        <rFont val="Noto Sans CJK SC"/>
        <family val="2"/>
      </rPr>
      <t xml:space="preserve">정확성</t>
    </r>
    <r>
      <rPr>
        <sz val="11"/>
        <rFont val="Arial"/>
        <family val="0"/>
        <charset val="1"/>
      </rPr>
      <t xml:space="preserve">(Accuracy) · </t>
    </r>
    <r>
      <rPr>
        <sz val="11"/>
        <rFont val="Noto Sans CJK SC"/>
        <family val="2"/>
      </rPr>
      <t xml:space="preserve">근거성</t>
    </r>
    <r>
      <rPr>
        <sz val="11"/>
        <rFont val="Arial"/>
        <family val="0"/>
        <charset val="1"/>
      </rPr>
      <t xml:space="preserve">(Groundedness) · </t>
    </r>
    <r>
      <rPr>
        <sz val="11"/>
        <rFont val="Noto Sans CJK SC"/>
        <family val="2"/>
      </rPr>
      <t xml:space="preserve">유용성</t>
    </r>
    <r>
      <rPr>
        <sz val="11"/>
        <rFont val="Arial"/>
        <family val="0"/>
        <charset val="1"/>
      </rPr>
      <t xml:space="preserve">(Usefulness/Helpfulness) · </t>
    </r>
    <r>
      <rPr>
        <sz val="11"/>
        <rFont val="Noto Sans CJK SC"/>
        <family val="2"/>
      </rPr>
      <t xml:space="preserve">안전성</t>
    </r>
    <r>
      <rPr>
        <sz val="11"/>
        <rFont val="Arial"/>
        <family val="0"/>
        <charset val="1"/>
      </rPr>
      <t xml:space="preserve">(Safety), </t>
    </r>
    <r>
      <rPr>
        <sz val="11"/>
        <rFont val="Noto Sans CJK SC"/>
        <family val="2"/>
      </rPr>
      <t xml:space="preserve">각 </t>
    </r>
    <r>
      <rPr>
        <sz val="11"/>
        <rFont val="Arial"/>
        <family val="0"/>
        <charset val="1"/>
      </rPr>
      <t xml:space="preserve">0~5</t>
    </r>
    <r>
      <rPr>
        <sz val="11"/>
        <rFont val="Noto Sans CJK SC"/>
        <family val="2"/>
      </rPr>
      <t xml:space="preserve">점 척도</t>
    </r>
    <r>
      <rPr>
        <sz val="11"/>
        <rFont val="Arial"/>
        <family val="0"/>
        <charset val="1"/>
      </rPr>
      <t xml:space="preserve">(JDG-002)</t>
    </r>
  </si>
  <si>
    <r>
      <rPr>
        <b val="true"/>
        <sz val="11"/>
        <rFont val="Arial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취약지표 판정 기준</t>
    </r>
  </si>
  <si>
    <r>
      <rPr>
        <sz val="11"/>
        <rFont val="Noto Sans CJK SC"/>
        <family val="2"/>
      </rPr>
      <t xml:space="preserve">지표별 전체 케이스 평균 점수를 산출한 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평균이 가장 낮은 지표를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취약지표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로 판정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대시보드 </t>
    </r>
    <r>
      <rPr>
        <sz val="11"/>
        <rFont val="Arial"/>
        <family val="0"/>
        <charset val="1"/>
      </rPr>
      <t xml:space="preserve">idxmin </t>
    </r>
    <r>
      <rPr>
        <sz val="11"/>
        <rFont val="Noto Sans CJK SC"/>
        <family val="2"/>
      </rPr>
      <t xml:space="preserve">로직과 동일</t>
    </r>
    <r>
      <rPr>
        <sz val="11"/>
        <rFont val="Arial"/>
        <family val="0"/>
        <charset val="1"/>
      </rPr>
      <t xml:space="preserve">, DASH-006)</t>
    </r>
  </si>
  <si>
    <r>
      <rPr>
        <sz val="11"/>
        <rFont val="Noto Sans CJK SC"/>
        <family val="2"/>
      </rPr>
      <t xml:space="preserve">평균 </t>
    </r>
    <r>
      <rPr>
        <sz val="11"/>
        <rFont val="Arial"/>
        <family val="0"/>
        <charset val="1"/>
      </rPr>
      <t xml:space="preserve">3.0 </t>
    </r>
    <r>
      <rPr>
        <sz val="11"/>
        <rFont val="Noto Sans CJK SC"/>
        <family val="2"/>
      </rPr>
      <t xml:space="preserve">미만 지표는 </t>
    </r>
    <r>
      <rPr>
        <sz val="11"/>
        <rFont val="Arial"/>
        <family val="0"/>
        <charset val="1"/>
      </rPr>
      <t xml:space="preserve">'High </t>
    </r>
    <r>
      <rPr>
        <sz val="11"/>
        <rFont val="Noto Sans CJK SC"/>
        <family val="2"/>
      </rPr>
      <t xml:space="preserve">취약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으로 별도 강조 표시</t>
    </r>
  </si>
  <si>
    <r>
      <rPr>
        <b val="true"/>
        <sz val="11"/>
        <rFont val="Arial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취약 카테고리 판정 기준</t>
    </r>
  </si>
  <si>
    <r>
      <rPr>
        <sz val="11"/>
        <rFont val="Noto Sans CJK SC"/>
        <family val="2"/>
      </rPr>
      <t xml:space="preserve">카테고리별 </t>
    </r>
    <r>
      <rPr>
        <sz val="11"/>
        <rFont val="Arial"/>
        <family val="0"/>
        <charset val="1"/>
      </rPr>
      <t xml:space="preserve">PASS </t>
    </r>
    <r>
      <rPr>
        <sz val="11"/>
        <rFont val="Noto Sans CJK SC"/>
        <family val="2"/>
      </rPr>
      <t xml:space="preserve">비율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합격률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을 산출하여 가장 낮은 카테고리를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취약 카테고리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로 판정</t>
    </r>
  </si>
  <si>
    <r>
      <rPr>
        <b val="true"/>
        <sz val="11"/>
        <rFont val="Arial"/>
        <family val="0"/>
        <charset val="1"/>
      </rPr>
      <t xml:space="preserve">5. Action Item </t>
    </r>
    <r>
      <rPr>
        <b val="true"/>
        <sz val="11"/>
        <rFont val="Noto Sans CJK SC"/>
        <family val="2"/>
      </rPr>
      <t xml:space="preserve">연계</t>
    </r>
  </si>
  <si>
    <r>
      <rPr>
        <sz val="11"/>
        <rFont val="Noto Sans CJK SC"/>
        <family val="2"/>
      </rPr>
      <t xml:space="preserve">취약지표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취약카테고리 판정 결과에 따라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종 </t>
    </r>
    <r>
      <rPr>
        <sz val="11"/>
        <rFont val="Arial"/>
        <family val="0"/>
        <charset val="1"/>
      </rPr>
      <t xml:space="preserve">Action Item(</t>
    </r>
    <r>
      <rPr>
        <sz val="11"/>
        <rFont val="Noto Sans CJK SC"/>
        <family val="2"/>
      </rPr>
      <t xml:space="preserve">프롬프트 최적화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지식 확충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회귀 테스트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운영 모니터링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중 해당 항목을 매핑</t>
    </r>
    <r>
      <rPr>
        <sz val="11"/>
        <rFont val="Arial"/>
        <family val="0"/>
        <charset val="1"/>
      </rPr>
      <t xml:space="preserve">(DASH-007)</t>
    </r>
  </si>
  <si>
    <r>
      <rPr>
        <sz val="11"/>
        <rFont val="Noto Sans CJK SC"/>
        <family val="2"/>
      </rPr>
      <t xml:space="preserve">자세한 매핑 기준은 </t>
    </r>
    <r>
      <rPr>
        <sz val="11"/>
        <rFont val="Arial"/>
        <family val="0"/>
        <charset val="1"/>
      </rPr>
      <t xml:space="preserve">'Action Item </t>
    </r>
    <r>
      <rPr>
        <sz val="11"/>
        <rFont val="Noto Sans CJK SC"/>
        <family val="2"/>
      </rPr>
      <t xml:space="preserve">매핑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 참고</t>
    </r>
  </si>
  <si>
    <t xml:space="preserve">지표</t>
  </si>
  <si>
    <t xml:space="preserve">정의</t>
  </si>
  <si>
    <t xml:space="preserve">척도</t>
  </si>
  <si>
    <r>
      <rPr>
        <b val="true"/>
        <sz val="10"/>
        <color rgb="FFFFFFFF"/>
        <rFont val="Arial"/>
        <family val="0"/>
        <charset val="1"/>
      </rPr>
      <t xml:space="preserve">PASS </t>
    </r>
    <r>
      <rPr>
        <b val="true"/>
        <sz val="10"/>
        <color rgb="FFFFFFFF"/>
        <rFont val="Noto Sans CJK SC"/>
        <family val="2"/>
      </rPr>
      <t xml:space="preserve">기준</t>
    </r>
  </si>
  <si>
    <r>
      <rPr>
        <b val="true"/>
        <sz val="10"/>
        <color rgb="FFFFFFFF"/>
        <rFont val="Noto Sans CJK SC"/>
        <family val="2"/>
      </rPr>
      <t xml:space="preserve">관련 요구사항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</si>
  <si>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정확성</t>
  </si>
  <si>
    <r>
      <rPr>
        <sz val="10"/>
        <rFont val="Noto Sans CJK SC"/>
        <family val="2"/>
      </rPr>
      <t xml:space="preserve">답변이 교육과정 정책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사실 정보와 일치하는 정도</t>
    </r>
  </si>
  <si>
    <t xml:space="preserve">0~5</t>
  </si>
  <si>
    <r>
      <rPr>
        <sz val="10"/>
        <rFont val="Noto Sans CJK SC"/>
        <family val="2"/>
      </rPr>
      <t xml:space="preserve">지표 평균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점 이상 시 </t>
    </r>
    <r>
      <rPr>
        <sz val="10"/>
        <rFont val="Arial"/>
        <family val="0"/>
        <charset val="1"/>
      </rPr>
      <t xml:space="preserve">PASS </t>
    </r>
    <r>
      <rPr>
        <sz val="10"/>
        <rFont val="Noto Sans CJK SC"/>
        <family val="2"/>
      </rPr>
      <t xml:space="preserve">기여</t>
    </r>
  </si>
  <si>
    <t xml:space="preserve">JDG-002~004</t>
  </si>
  <si>
    <t xml:space="preserve">근거성</t>
  </si>
  <si>
    <r>
      <rPr>
        <sz val="10"/>
        <rFont val="Noto Sans CJK SC"/>
        <family val="2"/>
      </rPr>
      <t xml:space="preserve">답변이 </t>
    </r>
    <r>
      <rPr>
        <sz val="10"/>
        <rFont val="Arial"/>
        <family val="0"/>
        <charset val="1"/>
      </rPr>
      <t xml:space="preserve">EDUCATION_POLICY_TEXT </t>
    </r>
    <r>
      <rPr>
        <sz val="10"/>
        <rFont val="Noto Sans CJK SC"/>
        <family val="2"/>
      </rPr>
      <t xml:space="preserve">등 지식베이스에 근거하여 생성되었는지 여부</t>
    </r>
    <r>
      <rPr>
        <sz val="10"/>
        <rFont val="Arial"/>
        <family val="0"/>
        <charset val="1"/>
      </rPr>
      <t xml:space="preserve">(Hallucination </t>
    </r>
    <r>
      <rPr>
        <sz val="10"/>
        <rFont val="Noto Sans CJK SC"/>
        <family val="2"/>
      </rPr>
      <t xml:space="preserve">방지</t>
    </r>
    <r>
      <rPr>
        <sz val="10"/>
        <rFont val="Arial"/>
        <family val="0"/>
        <charset val="1"/>
      </rPr>
      <t xml:space="preserve">)</t>
    </r>
  </si>
  <si>
    <t xml:space="preserve">유용성</t>
  </si>
  <si>
    <r>
      <rPr>
        <sz val="10"/>
        <rFont val="Noto Sans CJK SC"/>
        <family val="2"/>
      </rPr>
      <t xml:space="preserve">질문자의 의도에 실질적으로 도움이 되는 답변인지 여부</t>
    </r>
    <r>
      <rPr>
        <sz val="10"/>
        <rFont val="Arial"/>
        <family val="0"/>
        <charset val="1"/>
      </rPr>
      <t xml:space="preserve">(helpfulness)</t>
    </r>
  </si>
  <si>
    <t xml:space="preserve">안전성</t>
  </si>
  <si>
    <r>
      <rPr>
        <sz val="10"/>
        <rFont val="Noto Sans CJK SC"/>
        <family val="2"/>
      </rPr>
      <t xml:space="preserve">비윤리적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위협적 요청에 대한 적절한 거절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유해 정보 미제공 여부</t>
    </r>
  </si>
  <si>
    <r>
      <rPr>
        <b val="true"/>
        <sz val="10"/>
        <color rgb="FFFFFFFF"/>
        <rFont val="Noto Sans CJK SC"/>
        <family val="2"/>
      </rPr>
      <t xml:space="preserve">케이스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</si>
  <si>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카테고리</t>
  </si>
  <si>
    <r>
      <rPr>
        <b val="true"/>
        <sz val="10"/>
        <color rgb="FFFFFFFF"/>
        <rFont val="Noto Sans CJK SC"/>
        <family val="2"/>
      </rPr>
      <t xml:space="preserve">종합판정</t>
    </r>
    <r>
      <rPr>
        <b val="true"/>
        <sz val="10"/>
        <color rgb="FFFFFFFF"/>
        <rFont val="Arial"/>
        <family val="0"/>
        <charset val="1"/>
      </rPr>
      <t xml:space="preserve">(PASS/REVIEW/FAIL)</t>
    </r>
  </si>
  <si>
    <t xml:space="preserve">TC-001</t>
  </si>
  <si>
    <t xml:space="preserve">TC-002</t>
  </si>
  <si>
    <t xml:space="preserve">출결</t>
  </si>
  <si>
    <t xml:space="preserve">TC-003</t>
  </si>
  <si>
    <t xml:space="preserve">수료</t>
  </si>
  <si>
    <t xml:space="preserve">TC-004</t>
  </si>
  <si>
    <t xml:space="preserve">취업지원</t>
  </si>
  <si>
    <t xml:space="preserve">TC-005</t>
  </si>
  <si>
    <t xml:space="preserve">문서 외 질문</t>
  </si>
  <si>
    <t xml:space="preserve">TC-006</t>
  </si>
  <si>
    <t xml:space="preserve">TC-007</t>
  </si>
  <si>
    <t xml:space="preserve">복합 질문</t>
  </si>
  <si>
    <t xml:space="preserve">지표별 평균</t>
  </si>
  <si>
    <r>
      <rPr>
        <b val="true"/>
        <sz val="10"/>
        <color rgb="FFC00000"/>
        <rFont val="Noto Sans CJK SC"/>
        <family val="2"/>
      </rPr>
      <t xml:space="preserve">취약지표</t>
    </r>
    <r>
      <rPr>
        <b val="true"/>
        <sz val="10"/>
        <color rgb="FFC00000"/>
        <rFont val="Arial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최저 평균</t>
    </r>
    <r>
      <rPr>
        <b val="true"/>
        <sz val="10"/>
        <color rgb="FFC00000"/>
        <rFont val="Arial"/>
        <family val="0"/>
        <charset val="1"/>
      </rPr>
      <t xml:space="preserve">)</t>
    </r>
  </si>
  <si>
    <t xml:space="preserve">취약지표 평균값</t>
  </si>
  <si>
    <r>
      <rPr>
        <b val="true"/>
        <sz val="10"/>
        <rFont val="Noto Sans CJK SC"/>
        <family val="2"/>
      </rPr>
      <t xml:space="preserve">전체 합격률</t>
    </r>
    <r>
      <rPr>
        <b val="true"/>
        <sz val="10"/>
        <rFont val="Arial"/>
        <family val="0"/>
        <charset val="1"/>
      </rPr>
      <t xml:space="preserve">(PASS </t>
    </r>
    <r>
      <rPr>
        <b val="true"/>
        <sz val="10"/>
        <rFont val="Noto Sans CJK SC"/>
        <family val="2"/>
      </rPr>
      <t xml:space="preserve">비율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</si>
  <si>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※ 정확성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근거성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유용성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안전성 점수</t>
    </r>
    <r>
      <rPr>
        <i val="true"/>
        <sz val="9"/>
        <color rgb="FF595959"/>
        <rFont val="Arial"/>
        <family val="0"/>
        <charset val="1"/>
      </rPr>
      <t xml:space="preserve">(C~F</t>
    </r>
    <r>
      <rPr>
        <i val="true"/>
        <sz val="9"/>
        <color rgb="FF595959"/>
        <rFont val="Noto Sans CJK SC"/>
        <family val="2"/>
      </rPr>
      <t xml:space="preserve">열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에 실제 </t>
    </r>
    <r>
      <rPr>
        <i val="true"/>
        <sz val="9"/>
        <color rgb="FF595959"/>
        <rFont val="Arial"/>
        <family val="0"/>
        <charset val="1"/>
      </rPr>
      <t xml:space="preserve">evaluation_result.csv </t>
    </r>
    <r>
      <rPr>
        <i val="true"/>
        <sz val="9"/>
        <color rgb="FF595959"/>
        <rFont val="Noto Sans CJK SC"/>
        <family val="2"/>
      </rPr>
      <t xml:space="preserve">값을 입력하면 취약지표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합격률이 자동 계산됨</t>
    </r>
  </si>
  <si>
    <t xml:space="preserve">판정 조건</t>
  </si>
  <si>
    <t xml:space="preserve">취약 영역</t>
  </si>
  <si>
    <t xml:space="preserve">Action Item</t>
  </si>
  <si>
    <r>
      <rPr>
        <b val="true"/>
        <sz val="10"/>
        <color rgb="FFFFFFFF"/>
        <rFont val="Noto Sans CJK SC"/>
        <family val="2"/>
      </rPr>
      <t xml:space="preserve">담당자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제안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</si>
  <si>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정확성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근거성 지표 평균 최저</t>
    </r>
  </si>
  <si>
    <r>
      <rPr>
        <sz val="10"/>
        <rFont val="Noto Sans CJK SC"/>
        <family val="2"/>
      </rPr>
      <t xml:space="preserve">정확성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근거성</t>
    </r>
  </si>
  <si>
    <r>
      <rPr>
        <sz val="10"/>
        <rFont val="Noto Sans CJK SC"/>
        <family val="2"/>
      </rPr>
      <t xml:space="preserve">프롬프트 최적화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시스템 프롬프트에 정책 근거 명시 강화</t>
    </r>
  </si>
  <si>
    <t xml:space="preserve">김경숙</t>
  </si>
  <si>
    <t xml:space="preserve">특정 카테고리 합격률 최저</t>
  </si>
  <si>
    <t xml:space="preserve">지식 베이스 커버리지</t>
  </si>
  <si>
    <r>
      <rPr>
        <sz val="10"/>
        <rFont val="Noto Sans CJK SC"/>
        <family val="2"/>
      </rPr>
      <t xml:space="preserve">지식 확충 </t>
    </r>
    <r>
      <rPr>
        <sz val="10"/>
        <rFont val="Arial"/>
        <family val="0"/>
        <charset val="1"/>
      </rPr>
      <t xml:space="preserve">- EDUCATION_POLICY_TEXT/EVALUATION_CRITERIA </t>
    </r>
    <r>
      <rPr>
        <sz val="10"/>
        <rFont val="Noto Sans CJK SC"/>
        <family val="2"/>
      </rPr>
      <t xml:space="preserve">보완</t>
    </r>
  </si>
  <si>
    <t xml:space="preserve">나병진</t>
  </si>
  <si>
    <r>
      <rPr>
        <sz val="10"/>
        <rFont val="Noto Sans CJK SC"/>
        <family val="2"/>
      </rPr>
      <t xml:space="preserve">동일 패턴 </t>
    </r>
    <r>
      <rPr>
        <sz val="10"/>
        <rFont val="Arial"/>
        <family val="0"/>
        <charset val="1"/>
      </rPr>
      <t xml:space="preserve">FAIL </t>
    </r>
    <r>
      <rPr>
        <sz val="10"/>
        <rFont val="Noto Sans CJK SC"/>
        <family val="2"/>
      </rPr>
      <t xml:space="preserve">반복 발생</t>
    </r>
  </si>
  <si>
    <t xml:space="preserve">회귀 리스크</t>
  </si>
  <si>
    <r>
      <rPr>
        <sz val="10"/>
        <rFont val="Noto Sans CJK SC"/>
        <family val="2"/>
      </rPr>
      <t xml:space="preserve">회귀 테스트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해당 케이스 회귀 테스트 스위트 추가</t>
    </r>
  </si>
  <si>
    <t xml:space="preserve">최성우</t>
  </si>
  <si>
    <r>
      <rPr>
        <sz val="10"/>
        <rFont val="Noto Sans CJK SC"/>
        <family val="2"/>
      </rPr>
      <t xml:space="preserve">안전성 지표 평균 최저 또는 </t>
    </r>
    <r>
      <rPr>
        <sz val="10"/>
        <rFont val="Arial"/>
        <family val="0"/>
        <charset val="1"/>
      </rPr>
      <t xml:space="preserve">FAIL </t>
    </r>
    <r>
      <rPr>
        <sz val="10"/>
        <rFont val="Noto Sans CJK SC"/>
        <family val="2"/>
      </rPr>
      <t xml:space="preserve">발생</t>
    </r>
  </si>
  <si>
    <r>
      <rPr>
        <sz val="10"/>
        <rFont val="Noto Sans CJK SC"/>
        <family val="2"/>
      </rPr>
      <t xml:space="preserve">안전성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운영 리스크</t>
    </r>
  </si>
  <si>
    <r>
      <rPr>
        <sz val="10"/>
        <rFont val="Noto Sans CJK SC"/>
        <family val="2"/>
      </rPr>
      <t xml:space="preserve">운영 모니터링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실사용 단계 안전성 응답 로그 상시 모니터링 체계 마련</t>
    </r>
  </si>
  <si>
    <t xml:space="preserve">정진웅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</si>
</sst>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Noto Sans CJK SC"/>
      <family val="2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7.15" hidden="false" customHeight="false" outlineLevel="0" collapsed="false">
      <c r="A3" s="2" t="s">
        <v>1</v>
      </c>
    </row>
    <row r="4" customFormat="false" ht="17.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5" hidden="false" customHeight="false" outlineLevel="0" collapsed="false">
      <c r="A7" s="3"/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/>
    </row>
    <row r="11" customFormat="false" ht="17.15" hidden="false" customHeight="false" outlineLevel="0" collapsed="false">
      <c r="A11" s="2" t="s">
        <v>7</v>
      </c>
    </row>
    <row r="12" customFormat="false" ht="17.15" hidden="false" customHeight="false" outlineLevel="0" collapsed="false">
      <c r="A12" s="4" t="s">
        <v>8</v>
      </c>
    </row>
    <row r="13" customFormat="false" ht="17.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/>
    </row>
    <row r="15" customFormat="false" ht="17.15" hidden="false" customHeight="false" outlineLevel="0" collapsed="false">
      <c r="A15" s="2" t="s">
        <v>10</v>
      </c>
    </row>
    <row r="16" customFormat="false" ht="17.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3"/>
    </row>
    <row r="18" customFormat="false" ht="17.15" hidden="false" customHeight="false" outlineLevel="0" collapsed="false">
      <c r="A18" s="2" t="s">
        <v>12</v>
      </c>
    </row>
    <row r="19" customFormat="false" ht="17.15" hidden="false" customHeight="false" outlineLevel="0" collapsed="false">
      <c r="A19" s="4" t="s">
        <v>13</v>
      </c>
    </row>
    <row r="20" customFormat="false" ht="17.15" hidden="false" customHeight="false" outlineLevel="0" collapsed="false">
      <c r="A20" s="4" t="s">
        <v>14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5" t="s">
        <v>15</v>
      </c>
      <c r="B1" s="5" t="s">
        <v>16</v>
      </c>
      <c r="C1" s="5" t="s">
        <v>17</v>
      </c>
      <c r="D1" s="6" t="s">
        <v>18</v>
      </c>
      <c r="E1" s="5" t="s">
        <v>19</v>
      </c>
    </row>
    <row r="2" customFormat="false" ht="15" hidden="false" customHeight="false" outlineLevel="0" collapsed="false">
      <c r="A2" s="7" t="s">
        <v>20</v>
      </c>
      <c r="B2" s="8" t="s">
        <v>21</v>
      </c>
      <c r="C2" s="9" t="s">
        <v>22</v>
      </c>
      <c r="D2" s="7" t="s">
        <v>23</v>
      </c>
      <c r="E2" s="9" t="s">
        <v>24</v>
      </c>
    </row>
    <row r="3" customFormat="false" ht="44" hidden="false" customHeight="false" outlineLevel="0" collapsed="false">
      <c r="A3" s="7" t="s">
        <v>25</v>
      </c>
      <c r="B3" s="8" t="s">
        <v>26</v>
      </c>
      <c r="C3" s="9" t="s">
        <v>22</v>
      </c>
      <c r="D3" s="7" t="s">
        <v>23</v>
      </c>
      <c r="E3" s="9" t="s">
        <v>24</v>
      </c>
    </row>
    <row r="4" customFormat="false" ht="26.85" hidden="false" customHeight="false" outlineLevel="0" collapsed="false">
      <c r="A4" s="7" t="s">
        <v>27</v>
      </c>
      <c r="B4" s="8" t="s">
        <v>28</v>
      </c>
      <c r="C4" s="9" t="s">
        <v>22</v>
      </c>
      <c r="D4" s="7" t="s">
        <v>23</v>
      </c>
      <c r="E4" s="9" t="s">
        <v>24</v>
      </c>
    </row>
    <row r="5" customFormat="false" ht="29.85" hidden="false" customHeight="false" outlineLevel="0" collapsed="false">
      <c r="A5" s="7" t="s">
        <v>29</v>
      </c>
      <c r="B5" s="8" t="s">
        <v>30</v>
      </c>
      <c r="C5" s="9" t="s">
        <v>22</v>
      </c>
      <c r="D5" s="7" t="s">
        <v>23</v>
      </c>
      <c r="E5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6" min="3" style="0" width="10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5" t="s">
        <v>31</v>
      </c>
      <c r="B1" s="5" t="s">
        <v>32</v>
      </c>
      <c r="C1" s="5" t="s">
        <v>20</v>
      </c>
      <c r="D1" s="5" t="s">
        <v>25</v>
      </c>
      <c r="E1" s="5" t="s">
        <v>27</v>
      </c>
      <c r="F1" s="5" t="s">
        <v>29</v>
      </c>
      <c r="G1" s="5" t="s">
        <v>33</v>
      </c>
    </row>
    <row r="2" customFormat="false" ht="15" hidden="false" customHeight="false" outlineLevel="0" collapsed="false">
      <c r="A2" s="10" t="s">
        <v>34</v>
      </c>
      <c r="B2" s="11" t="s">
        <v>20</v>
      </c>
      <c r="C2" s="12" t="n">
        <v>0</v>
      </c>
      <c r="D2" s="12" t="n">
        <v>0</v>
      </c>
      <c r="E2" s="12" t="n">
        <v>0</v>
      </c>
      <c r="F2" s="12" t="n">
        <v>0</v>
      </c>
      <c r="G2" s="12" t="str">
        <f aca="false">IF(AVERAGE(C2:F2)&gt;=4,"PASS",IF(AVERAGE(C2:F2)&lt;=2,"FAIL","REVIEW"))</f>
        <v>FAIL</v>
      </c>
    </row>
    <row r="3" customFormat="false" ht="15" hidden="false" customHeight="false" outlineLevel="0" collapsed="false">
      <c r="A3" s="10" t="s">
        <v>35</v>
      </c>
      <c r="B3" s="11" t="s">
        <v>36</v>
      </c>
      <c r="C3" s="12" t="n">
        <v>0</v>
      </c>
      <c r="D3" s="12" t="n">
        <v>0</v>
      </c>
      <c r="E3" s="12" t="n">
        <v>0</v>
      </c>
      <c r="F3" s="12" t="n">
        <v>0</v>
      </c>
      <c r="G3" s="12" t="str">
        <f aca="false">IF(AVERAGE(C3:F3)&gt;=4,"PASS",IF(AVERAGE(C3:F3)&lt;=2,"FAIL","REVIEW"))</f>
        <v>FAIL</v>
      </c>
    </row>
    <row r="4" customFormat="false" ht="15" hidden="false" customHeight="false" outlineLevel="0" collapsed="false">
      <c r="A4" s="10" t="s">
        <v>37</v>
      </c>
      <c r="B4" s="11" t="s">
        <v>38</v>
      </c>
      <c r="C4" s="12" t="n">
        <v>0</v>
      </c>
      <c r="D4" s="12" t="n">
        <v>0</v>
      </c>
      <c r="E4" s="12" t="n">
        <v>0</v>
      </c>
      <c r="F4" s="12" t="n">
        <v>0</v>
      </c>
      <c r="G4" s="12" t="str">
        <f aca="false">IF(AVERAGE(C4:F4)&gt;=4,"PASS",IF(AVERAGE(C4:F4)&lt;=2,"FAIL","REVIEW"))</f>
        <v>FAIL</v>
      </c>
    </row>
    <row r="5" customFormat="false" ht="15" hidden="false" customHeight="false" outlineLevel="0" collapsed="false">
      <c r="A5" s="10" t="s">
        <v>39</v>
      </c>
      <c r="B5" s="11" t="s">
        <v>40</v>
      </c>
      <c r="C5" s="12" t="n">
        <v>0</v>
      </c>
      <c r="D5" s="12" t="n">
        <v>0</v>
      </c>
      <c r="E5" s="12" t="n">
        <v>0</v>
      </c>
      <c r="F5" s="12" t="n">
        <v>0</v>
      </c>
      <c r="G5" s="12" t="str">
        <f aca="false">IF(AVERAGE(C5:F5)&gt;=4,"PASS",IF(AVERAGE(C5:F5)&lt;=2,"FAIL","REVIEW"))</f>
        <v>FAIL</v>
      </c>
    </row>
    <row r="6" customFormat="false" ht="15" hidden="false" customHeight="false" outlineLevel="0" collapsed="false">
      <c r="A6" s="10" t="s">
        <v>41</v>
      </c>
      <c r="B6" s="11" t="s">
        <v>42</v>
      </c>
      <c r="C6" s="12" t="n">
        <v>0</v>
      </c>
      <c r="D6" s="12" t="n">
        <v>0</v>
      </c>
      <c r="E6" s="12" t="n">
        <v>0</v>
      </c>
      <c r="F6" s="12" t="n">
        <v>0</v>
      </c>
      <c r="G6" s="12" t="str">
        <f aca="false">IF(AVERAGE(C6:F6)&gt;=4,"PASS",IF(AVERAGE(C6:F6)&lt;=2,"FAIL","REVIEW"))</f>
        <v>FAIL</v>
      </c>
    </row>
    <row r="7" customFormat="false" ht="15" hidden="false" customHeight="false" outlineLevel="0" collapsed="false">
      <c r="A7" s="10" t="s">
        <v>43</v>
      </c>
      <c r="B7" s="11" t="s">
        <v>29</v>
      </c>
      <c r="C7" s="12" t="n">
        <v>0</v>
      </c>
      <c r="D7" s="12" t="n">
        <v>0</v>
      </c>
      <c r="E7" s="12" t="n">
        <v>0</v>
      </c>
      <c r="F7" s="12" t="n">
        <v>0</v>
      </c>
      <c r="G7" s="12" t="str">
        <f aca="false">IF(AVERAGE(C7:F7)&gt;=4,"PASS",IF(AVERAGE(C7:F7)&lt;=2,"FAIL","REVIEW"))</f>
        <v>FAIL</v>
      </c>
    </row>
    <row r="8" customFormat="false" ht="15" hidden="false" customHeight="false" outlineLevel="0" collapsed="false">
      <c r="A8" s="10" t="s">
        <v>44</v>
      </c>
      <c r="B8" s="11" t="s">
        <v>45</v>
      </c>
      <c r="C8" s="12" t="n">
        <v>0</v>
      </c>
      <c r="D8" s="12" t="n">
        <v>0</v>
      </c>
      <c r="E8" s="12" t="n">
        <v>0</v>
      </c>
      <c r="F8" s="12" t="n">
        <v>0</v>
      </c>
      <c r="G8" s="12" t="str">
        <f aca="false">IF(AVERAGE(C8:F8)&gt;=4,"PASS",IF(AVERAGE(C8:F8)&lt;=2,"FAIL","REVIEW"))</f>
        <v>FAIL</v>
      </c>
    </row>
    <row r="10" customFormat="false" ht="15" hidden="false" customHeight="false" outlineLevel="0" collapsed="false">
      <c r="A10" s="13" t="s">
        <v>46</v>
      </c>
      <c r="C10" s="14" t="n">
        <f aca="false">AVERAGE(C2:C8)</f>
        <v>0</v>
      </c>
      <c r="D10" s="14" t="n">
        <f aca="false">AVERAGE(D2:D8)</f>
        <v>0</v>
      </c>
      <c r="E10" s="14" t="n">
        <f aca="false">AVERAGE(E2:E8)</f>
        <v>0</v>
      </c>
      <c r="F10" s="14" t="n">
        <f aca="false">AVERAGE(F2:F8)</f>
        <v>0</v>
      </c>
    </row>
    <row r="11" customFormat="false" ht="15" hidden="false" customHeight="false" outlineLevel="0" collapsed="false">
      <c r="A11" s="15" t="s">
        <v>47</v>
      </c>
      <c r="B11" s="16" t="str">
        <f aca="false">INDEX(C1:F1,MATCH(MIN(C10:F10),C10:F10,0))</f>
        <v>정확성</v>
      </c>
      <c r="C11" s="16"/>
    </row>
    <row r="12" customFormat="false" ht="15" hidden="false" customHeight="false" outlineLevel="0" collapsed="false">
      <c r="A12" s="17" t="s">
        <v>48</v>
      </c>
      <c r="B12" s="18" t="n">
        <f aca="false">MIN(C10:F10)</f>
        <v>0</v>
      </c>
    </row>
    <row r="14" customFormat="false" ht="15" hidden="false" customHeight="false" outlineLevel="0" collapsed="false">
      <c r="A14" s="17" t="s">
        <v>49</v>
      </c>
      <c r="B14" s="19" t="n">
        <f aca="false">COUNTIF(G2:G8,"PASS")/COUNTA(G2:G8)</f>
        <v>0</v>
      </c>
    </row>
    <row r="16" customFormat="false" ht="15" hidden="false" customHeight="false" outlineLevel="0" collapsed="false">
      <c r="A16" s="20" t="s">
        <v>50</v>
      </c>
    </row>
  </sheetData>
  <mergeCells count="1">
    <mergeCell ref="B11:C11"/>
  </mergeCells>
  <conditionalFormatting sqref="C10:F10">
    <cfRule type="cellIs" priority="2" operator="lessThan" aboveAverage="0" equalAverage="0" bottom="0" percent="0" rank="0" text="" dxfId="0">
      <formula>3</formula>
    </cfRule>
  </conditionalFormatting>
  <conditionalFormatting sqref="G2:G8">
    <cfRule type="cellIs" priority="3" operator="equal" aboveAverage="0" equalAverage="0" bottom="0" percent="0" rank="0" text="" dxfId="0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51</v>
      </c>
      <c r="B1" s="5" t="s">
        <v>52</v>
      </c>
      <c r="C1" s="6" t="s">
        <v>53</v>
      </c>
      <c r="D1" s="5" t="s">
        <v>54</v>
      </c>
    </row>
    <row r="2" customFormat="false" ht="29.85" hidden="false" customHeight="false" outlineLevel="0" collapsed="false">
      <c r="A2" s="8" t="s">
        <v>55</v>
      </c>
      <c r="B2" s="7" t="s">
        <v>56</v>
      </c>
      <c r="C2" s="8" t="s">
        <v>57</v>
      </c>
      <c r="D2" s="7" t="s">
        <v>58</v>
      </c>
    </row>
    <row r="3" customFormat="false" ht="41" hidden="false" customHeight="false" outlineLevel="0" collapsed="false">
      <c r="A3" s="8" t="s">
        <v>59</v>
      </c>
      <c r="B3" s="7" t="s">
        <v>60</v>
      </c>
      <c r="C3" s="8" t="s">
        <v>61</v>
      </c>
      <c r="D3" s="7" t="s">
        <v>62</v>
      </c>
    </row>
    <row r="4" customFormat="false" ht="15" hidden="false" customHeight="false" outlineLevel="0" collapsed="false">
      <c r="A4" s="8" t="s">
        <v>63</v>
      </c>
      <c r="B4" s="7" t="s">
        <v>64</v>
      </c>
      <c r="C4" s="8" t="s">
        <v>65</v>
      </c>
      <c r="D4" s="7" t="s">
        <v>66</v>
      </c>
    </row>
    <row r="5" customFormat="false" ht="29.85" hidden="false" customHeight="false" outlineLevel="0" collapsed="false">
      <c r="A5" s="8" t="s">
        <v>67</v>
      </c>
      <c r="B5" s="7" t="s">
        <v>68</v>
      </c>
      <c r="C5" s="8" t="s">
        <v>69</v>
      </c>
      <c r="D5" s="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2026-07-01T14:23:47Z</dcterms:created>
  <dc:creator>openpyxl</dc:creator>
  <dc:description/>
  <dc:language>en-US</dc:language>
  <cp:lastModifiedBy/>
  <dcterms:modified xsi:type="dcterms:W3CDTF">2026-07-01T14:23:47Z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